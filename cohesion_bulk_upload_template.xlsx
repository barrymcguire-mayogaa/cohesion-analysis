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arrymcguire/Desktop/Cohesion Analysis/"/>
    </mc:Choice>
  </mc:AlternateContent>
  <xr:revisionPtr revIDLastSave="0" documentId="13_ncr:1_{7A04185F-B31B-B04B-8B35-0BC0F8BE51A7}" xr6:coauthVersionLast="47" xr6:coauthVersionMax="47" xr10:uidLastSave="{00000000-0000-0000-0000-000000000000}"/>
  <bookViews>
    <workbookView xWindow="0" yWindow="1200" windowWidth="31920" windowHeight="20180" xr2:uid="{00000000-000D-0000-FFFF-FFFF00000000}"/>
  </bookViews>
  <sheets>
    <sheet name="Bulk Upload Manifest" sheetId="1" r:id="rId1"/>
    <sheet name="Instructions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</calcChain>
</file>

<file path=xl/sharedStrings.xml><?xml version="1.0" encoding="utf-8"?>
<sst xmlns="http://schemas.openxmlformats.org/spreadsheetml/2006/main" count="171" uniqueCount="140">
  <si>
    <t>xml_file</t>
  </si>
  <si>
    <t>home_team</t>
  </si>
  <si>
    <t>away_team</t>
  </si>
  <si>
    <t>date</t>
  </si>
  <si>
    <t>competition</t>
  </si>
  <si>
    <t>division</t>
  </si>
  <si>
    <t>round</t>
  </si>
  <si>
    <t>youtube_url</t>
  </si>
  <si>
    <t>half1_start</t>
  </si>
  <si>
    <t>half2_start</t>
  </si>
  <si>
    <t>home_color</t>
  </si>
  <si>
    <t>away_color</t>
  </si>
  <si>
    <t>game_id</t>
  </si>
  <si>
    <t>has_extra_time</t>
  </si>
  <si>
    <t>et1_start</t>
  </si>
  <si>
    <t>et2_start</t>
  </si>
  <si>
    <t>angle_2_label</t>
  </si>
  <si>
    <t>angle_2_youtube_url</t>
  </si>
  <si>
    <t>angle_2_half1_start</t>
  </si>
  <si>
    <t>angle_2_half2_start</t>
  </si>
  <si>
    <t>angle_3_label</t>
  </si>
  <si>
    <t>angle_3_youtube_url</t>
  </si>
  <si>
    <t>angle_3_half1_start</t>
  </si>
  <si>
    <t>angle_3_half2_start</t>
  </si>
  <si>
    <t>angle_4_label</t>
  </si>
  <si>
    <t>angle_4_youtube_url</t>
  </si>
  <si>
    <t>angle_4_half1_start</t>
  </si>
  <si>
    <t>angle_4_half2_start</t>
  </si>
  <si>
    <t>angle_5_label</t>
  </si>
  <si>
    <t>angle_5_youtube_url</t>
  </si>
  <si>
    <t>angle_5_half1_start</t>
  </si>
  <si>
    <t>angle_5_half2_start</t>
  </si>
  <si>
    <t>notes</t>
  </si>
  <si>
    <t>Fermanagh</t>
  </si>
  <si>
    <t>Armagh</t>
  </si>
  <si>
    <t>Ulster SFC</t>
  </si>
  <si>
    <t>Quarter Final</t>
  </si>
  <si>
    <t>No</t>
  </si>
  <si>
    <t>Donegal</t>
  </si>
  <si>
    <t>Down</t>
  </si>
  <si>
    <t>Cork</t>
  </si>
  <si>
    <t>Munster SFC</t>
  </si>
  <si>
    <t>COHESION Bulk Upload Manifest Template</t>
  </si>
  <si>
    <t>Purpose</t>
  </si>
  <si>
    <t>Use the Bulk Upload Manifest sheet to describe multiple games. Upload this workbook plus the matching XML files in the admin bulk uploader.</t>
  </si>
  <si>
    <t>Required columns</t>
  </si>
  <si>
    <t>xml_file, home_team, away_team, date, competition, round, youtube_url, half1_start, half2_start, home_color, away_color.</t>
  </si>
  <si>
    <t>XML matching</t>
  </si>
  <si>
    <t>The xml_file value must exactly match the filename of one selected XML file, including .xml.</t>
  </si>
  <si>
    <t>Times</t>
  </si>
  <si>
    <t>Use MM:SS, for example 00:55 or 39:09. Negative values like -00:50 may be supported if the upload parser allows them.</t>
  </si>
  <si>
    <t>YouTube URL</t>
  </si>
  <si>
    <t>Use a normal YouTube or youtu.be URL. The uploader will extract the video ID.</t>
  </si>
  <si>
    <t>Colours</t>
  </si>
  <si>
    <t>Use hex colour values such as #D71920. Keep the # character.</t>
  </si>
  <si>
    <t>Optional. Leave blank to let the app generate it from teams, year, and competition.</t>
  </si>
  <si>
    <t>Extra time</t>
  </si>
  <si>
    <t>Set has_extra_time to Yes only when ET applies, then fill et1_start and et2_start.</t>
  </si>
  <si>
    <t>Extra angles</t>
  </si>
  <si>
    <t>Optional. Use angle_2 through angle_5 when additional YouTube views exist. If an angle URL is filled, also fill its label, half1_start, and half2_start.</t>
  </si>
  <si>
    <t>Notes</t>
  </si>
  <si>
    <t>Optional. Notes are for your own review and may be ignored by the uploader.</t>
  </si>
  <si>
    <t>competition_options</t>
  </si>
  <si>
    <t>yes_no</t>
  </si>
  <si>
    <t>division_options</t>
  </si>
  <si>
    <t>National Football League</t>
  </si>
  <si>
    <t>Yes</t>
  </si>
  <si>
    <t>Division 1</t>
  </si>
  <si>
    <t>Division 2</t>
  </si>
  <si>
    <t>Division 3</t>
  </si>
  <si>
    <t>Leinster SFC</t>
  </si>
  <si>
    <t>Division 4</t>
  </si>
  <si>
    <t>Connacht SFC</t>
  </si>
  <si>
    <t>All-Ireland SFC</t>
  </si>
  <si>
    <t>Other</t>
  </si>
  <si>
    <t>#ed3327</t>
  </si>
  <si>
    <t>WIDE</t>
  </si>
  <si>
    <t>#ffffff</t>
  </si>
  <si>
    <t>title</t>
  </si>
  <si>
    <t>Meath</t>
  </si>
  <si>
    <t>Round 4</t>
  </si>
  <si>
    <t>cork-meath-2026-d2r4.xml</t>
  </si>
  <si>
    <t>cork-meath-2026-d2r4</t>
  </si>
  <si>
    <t>https://youtu.be/U464h3y1msY</t>
  </si>
  <si>
    <t>01:14</t>
  </si>
  <si>
    <t>38:52</t>
  </si>
  <si>
    <t>#006944</t>
  </si>
  <si>
    <t>https://youtu.be/GjYUmp9IN9w</t>
  </si>
  <si>
    <t>00:02</t>
  </si>
  <si>
    <t>37:49</t>
  </si>
  <si>
    <t>https://youtu.be/k0_P7E_Em58</t>
  </si>
  <si>
    <t>Round 5</t>
  </si>
  <si>
    <t>Derry</t>
  </si>
  <si>
    <t>#e91d20</t>
  </si>
  <si>
    <t>derry-cork-2026-nfl-d2r5</t>
  </si>
  <si>
    <t>derry-cork-2026-nfl-d2r5.xml</t>
  </si>
  <si>
    <t>03:00</t>
  </si>
  <si>
    <t>43:33</t>
  </si>
  <si>
    <t>https://youtu.be/cOs48MlXWns</t>
  </si>
  <si>
    <t>37:58</t>
  </si>
  <si>
    <t>Kildare</t>
  </si>
  <si>
    <t>Round 6</t>
  </si>
  <si>
    <t>cork-kildare-2026-nfl-d2r6.xml</t>
  </si>
  <si>
    <t>cork-kildare-2026-nfl-d2r6</t>
  </si>
  <si>
    <t>https://youtu.be/QGTn1t0xN1g</t>
  </si>
  <si>
    <t>00:26</t>
  </si>
  <si>
    <t>38:40</t>
  </si>
  <si>
    <t>https://youtu.be/jzKeMY1u7qE</t>
  </si>
  <si>
    <t>00:19</t>
  </si>
  <si>
    <t>52:50</t>
  </si>
  <si>
    <t>https://youtu.be/1HTSJNZ61zE</t>
  </si>
  <si>
    <t>Round 7</t>
  </si>
  <si>
    <t>01:47</t>
  </si>
  <si>
    <t>Tyrone</t>
  </si>
  <si>
    <t>55:34</t>
  </si>
  <si>
    <t>https://youtu.be/93CiGKGlFc0</t>
  </si>
  <si>
    <t>00:38</t>
  </si>
  <si>
    <t>54:24</t>
  </si>
  <si>
    <t>https://youtu.be/Kkf9b6JaeTE</t>
  </si>
  <si>
    <t>00:46</t>
  </si>
  <si>
    <t>37:04</t>
  </si>
  <si>
    <t>#fec700</t>
  </si>
  <si>
    <t>#d92a1a</t>
  </si>
  <si>
    <t>donegal-down-2026-usfc-qf</t>
  </si>
  <si>
    <t>donegal-down-2026-usfc-qf.xml</t>
  </si>
  <si>
    <t>https://youtu.be/lMcxLAeMFLY</t>
  </si>
  <si>
    <t>38:53</t>
  </si>
  <si>
    <t>00:42</t>
  </si>
  <si>
    <t>https://youtu.be/CA5f1Z0DAvY</t>
  </si>
  <si>
    <t>fermanagh-armagh-2026-usfc-qf</t>
  </si>
  <si>
    <t>fermanagh-armagh-2026-usfc-qf.xml</t>
  </si>
  <si>
    <t>#007932</t>
  </si>
  <si>
    <t>#ff6a00</t>
  </si>
  <si>
    <t>39:08</t>
  </si>
  <si>
    <t>00:56</t>
  </si>
  <si>
    <t>https://youtu.be/kCieRR71S5M</t>
  </si>
  <si>
    <t>00:00</t>
  </si>
  <si>
    <t>37:12</t>
  </si>
  <si>
    <t>tyrone-cork-2026-nfl-d2r7.xml</t>
  </si>
  <si>
    <t>tyrone-cork-2026-nfl-d2r7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</si>
</sst>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sz val="11"/>
      <name val="Aptos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3" borderId="0" xfId="0" applyFont="1" applyFill="1"/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lkUploadManifest" displayName="BulkUploadManifest" ref="A1:AH47">
  <tableColumns count="34">
    <tableColumn id="1" xr3:uid="{00000000-0010-0000-0000-000001000000}" name="xml_file"/>
    <tableColumn id="34" xr3:uid="{9933E259-629A-7B42-BF51-43123E21912E}" name="title" dataDxfId="0">
      <calculatedColumnFormula>CONCATENATE(C2, " v ", D2)</calculatedColumnFormula>
    </tableColumn>
    <tableColumn id="2" xr3:uid="{00000000-0010-0000-0000-000002000000}" name="home_team"/>
    <tableColumn id="3" xr3:uid="{00000000-0010-0000-0000-000003000000}" name="away_team"/>
    <tableColumn id="4" xr3:uid="{00000000-0010-0000-0000-000004000000}" name="date"/>
    <tableColumn id="5" xr3:uid="{00000000-0010-0000-0000-000005000000}" name="competition"/>
    <tableColumn id="6" xr3:uid="{00000000-0010-0000-0000-000006000000}" name="division"/>
    <tableColumn id="7" xr3:uid="{00000000-0010-0000-0000-000007000000}" name="round"/>
    <tableColumn id="8" xr3:uid="{00000000-0010-0000-0000-000008000000}" name="youtube_url"/>
    <tableColumn id="9" xr3:uid="{00000000-0010-0000-0000-000009000000}" name="half1_start"/>
    <tableColumn id="10" xr3:uid="{00000000-0010-0000-0000-00000A000000}" name="half2_start"/>
    <tableColumn id="11" xr3:uid="{00000000-0010-0000-0000-00000B000000}" name="home_color"/>
    <tableColumn id="12" xr3:uid="{00000000-0010-0000-0000-00000C000000}" name="away_color"/>
    <tableColumn id="13" xr3:uid="{00000000-0010-0000-0000-00000D000000}" name="game_id"/>
    <tableColumn id="14" xr3:uid="{00000000-0010-0000-0000-00000E000000}" name="has_extra_time"/>
    <tableColumn id="15" xr3:uid="{00000000-0010-0000-0000-00000F000000}" name="et1_start"/>
    <tableColumn id="16" xr3:uid="{00000000-0010-0000-0000-000010000000}" name="et2_start"/>
    <tableColumn id="17" xr3:uid="{00000000-0010-0000-0000-000011000000}" name="angle_2_label"/>
    <tableColumn id="18" xr3:uid="{00000000-0010-0000-0000-000012000000}" name="angle_2_youtube_url"/>
    <tableColumn id="19" xr3:uid="{00000000-0010-0000-0000-000013000000}" name="angle_2_half1_start"/>
    <tableColumn id="20" xr3:uid="{00000000-0010-0000-0000-000014000000}" name="angle_2_half2_start"/>
    <tableColumn id="21" xr3:uid="{00000000-0010-0000-0000-000015000000}" name="angle_3_label"/>
    <tableColumn id="22" xr3:uid="{00000000-0010-0000-0000-000016000000}" name="angle_3_youtube_url"/>
    <tableColumn id="23" xr3:uid="{00000000-0010-0000-0000-000017000000}" name="angle_3_half1_start"/>
    <tableColumn id="24" xr3:uid="{00000000-0010-0000-0000-000018000000}" name="angle_3_half2_start"/>
    <tableColumn id="25" xr3:uid="{00000000-0010-0000-0000-000019000000}" name="angle_4_label"/>
    <tableColumn id="26" xr3:uid="{00000000-0010-0000-0000-00001A000000}" name="angle_4_youtube_url"/>
    <tableColumn id="27" xr3:uid="{00000000-0010-0000-0000-00001B000000}" name="angle_4_half1_start"/>
    <tableColumn id="28" xr3:uid="{00000000-0010-0000-0000-00001C000000}" name="angle_4_half2_start"/>
    <tableColumn id="29" xr3:uid="{00000000-0010-0000-0000-00001D000000}" name="angle_5_label"/>
    <tableColumn id="30" xr3:uid="{00000000-0010-0000-0000-00001E000000}" name="angle_5_youtube_url"/>
    <tableColumn id="31" xr3:uid="{00000000-0010-0000-0000-00001F000000}" name="angle_5_half1_start"/>
    <tableColumn id="32" xr3:uid="{00000000-0010-0000-0000-000020000000}" name="angle_5_half2_start"/>
    <tableColumn id="33" xr3:uid="{00000000-0010-0000-0000-000021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"/>
  <sheetViews>
    <sheetView showGridLines="0" tabSelected="1" workbookViewId="0">
      <selection activeCell="I15" sqref="I15"/>
    </sheetView>
  </sheetViews>
  <sheetFormatPr baseColWidth="10" defaultColWidth="8.83203125" defaultRowHeight="14"/>
  <cols>
    <col min="1" max="2" width="37.33203125" customWidth="1"/>
    <col min="3" max="3" width="11.5" customWidth="1"/>
    <col min="4" max="4" width="11.1640625" customWidth="1"/>
    <col min="5" max="5" width="12.33203125" customWidth="1"/>
    <col min="6" max="6" width="21.5" customWidth="1"/>
    <col min="7" max="7" width="11" customWidth="1"/>
    <col min="8" max="8" width="12.6640625" customWidth="1"/>
    <col min="9" max="9" width="31.33203125" customWidth="1"/>
    <col min="10" max="13" width="11" customWidth="1"/>
    <col min="14" max="14" width="36.1640625" customWidth="1"/>
    <col min="15" max="15" width="9.1640625" customWidth="1"/>
    <col min="16" max="17" width="10.5" customWidth="1"/>
    <col min="18" max="18" width="14.1640625" customWidth="1"/>
    <col min="19" max="19" width="31.33203125" customWidth="1"/>
    <col min="20" max="22" width="14.1640625" customWidth="1"/>
    <col min="23" max="23" width="31.33203125" customWidth="1"/>
    <col min="24" max="26" width="14.1640625" customWidth="1"/>
    <col min="27" max="27" width="31.33203125" customWidth="1"/>
    <col min="28" max="30" width="14.1640625" customWidth="1"/>
    <col min="31" max="31" width="31.33203125" customWidth="1"/>
    <col min="32" max="33" width="14.1640625" customWidth="1"/>
    <col min="34" max="34" width="31.33203125" customWidth="1"/>
  </cols>
  <sheetData>
    <row r="1" spans="1:34" ht="32">
      <c r="A1" s="8" t="s">
        <v>0</v>
      </c>
      <c r="B1" s="8" t="s">
        <v>78</v>
      </c>
      <c r="C1" s="8" t="s">
        <v>1</v>
      </c>
      <c r="D1" s="8" t="s">
        <v>2</v>
      </c>
      <c r="E1" s="8" t="s">
        <v>3</v>
      </c>
      <c r="F1" s="8" t="s">
        <v>4</v>
      </c>
      <c r="G1" s="2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ht="25.5" customHeight="1">
      <c r="A2" s="3" t="s">
        <v>81</v>
      </c>
      <c r="B2" s="3" t="str">
        <f t="shared" ref="B2:B30" si="0">CONCATENATE(C2, " v ", D2)</f>
        <v>Cork v Meath</v>
      </c>
      <c r="C2" s="3" t="s">
        <v>40</v>
      </c>
      <c r="D2" s="3" t="s">
        <v>79</v>
      </c>
      <c r="E2" s="4">
        <v>46075</v>
      </c>
      <c r="F2" s="3" t="s">
        <v>65</v>
      </c>
      <c r="G2" s="3" t="s">
        <v>68</v>
      </c>
      <c r="H2" s="3" t="s">
        <v>80</v>
      </c>
      <c r="I2" s="3" t="s">
        <v>83</v>
      </c>
      <c r="J2" s="5" t="s">
        <v>84</v>
      </c>
      <c r="K2" s="5" t="s">
        <v>85</v>
      </c>
      <c r="L2" s="5" t="s">
        <v>75</v>
      </c>
      <c r="M2" s="5" t="s">
        <v>86</v>
      </c>
      <c r="N2" s="3" t="s">
        <v>82</v>
      </c>
      <c r="O2" s="3" t="s">
        <v>37</v>
      </c>
      <c r="P2" s="5"/>
      <c r="Q2" s="5"/>
      <c r="R2" s="5" t="s">
        <v>76</v>
      </c>
      <c r="S2" s="5" t="s">
        <v>87</v>
      </c>
      <c r="T2" s="5" t="s">
        <v>88</v>
      </c>
      <c r="U2" s="5" t="s">
        <v>89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3"/>
    </row>
    <row r="3" spans="1:34" ht="25.5" customHeight="1">
      <c r="A3" s="3" t="s">
        <v>95</v>
      </c>
      <c r="B3" s="3" t="str">
        <f t="shared" si="0"/>
        <v>Derry v Cork</v>
      </c>
      <c r="C3" s="3" t="s">
        <v>92</v>
      </c>
      <c r="D3" s="3" t="s">
        <v>40</v>
      </c>
      <c r="E3" s="4">
        <v>46082</v>
      </c>
      <c r="F3" s="3" t="s">
        <v>65</v>
      </c>
      <c r="G3" s="3" t="s">
        <v>68</v>
      </c>
      <c r="H3" s="3" t="s">
        <v>91</v>
      </c>
      <c r="I3" s="3" t="s">
        <v>90</v>
      </c>
      <c r="J3" s="5" t="s">
        <v>96</v>
      </c>
      <c r="K3" s="5" t="s">
        <v>97</v>
      </c>
      <c r="L3" s="5" t="s">
        <v>93</v>
      </c>
      <c r="M3" s="5" t="s">
        <v>77</v>
      </c>
      <c r="N3" s="3" t="s">
        <v>94</v>
      </c>
      <c r="O3" s="3" t="s">
        <v>37</v>
      </c>
      <c r="P3" s="5"/>
      <c r="Q3" s="5"/>
      <c r="R3" s="5" t="s">
        <v>76</v>
      </c>
      <c r="S3" t="s">
        <v>98</v>
      </c>
      <c r="T3" s="5" t="s">
        <v>88</v>
      </c>
      <c r="U3" s="5" t="s">
        <v>99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3"/>
    </row>
    <row r="4" spans="1:34" ht="25.5" customHeight="1">
      <c r="A4" s="3" t="s">
        <v>102</v>
      </c>
      <c r="B4" s="3" t="str">
        <f t="shared" si="0"/>
        <v>Cork v Kildare</v>
      </c>
      <c r="C4" s="3" t="s">
        <v>40</v>
      </c>
      <c r="D4" s="3" t="s">
        <v>100</v>
      </c>
      <c r="E4" s="4">
        <v>46095</v>
      </c>
      <c r="F4" s="3" t="s">
        <v>65</v>
      </c>
      <c r="G4" s="3" t="s">
        <v>68</v>
      </c>
      <c r="H4" s="3" t="s">
        <v>101</v>
      </c>
      <c r="I4" s="3" t="s">
        <v>104</v>
      </c>
      <c r="J4" s="5" t="s">
        <v>105</v>
      </c>
      <c r="K4" s="5" t="s">
        <v>106</v>
      </c>
      <c r="L4" s="5" t="s">
        <v>75</v>
      </c>
      <c r="M4" s="5" t="s">
        <v>77</v>
      </c>
      <c r="N4" s="3" t="s">
        <v>103</v>
      </c>
      <c r="O4" s="3" t="s">
        <v>37</v>
      </c>
      <c r="P4" s="5"/>
      <c r="Q4" s="5"/>
      <c r="R4" s="5" t="s">
        <v>76</v>
      </c>
      <c r="S4" s="5" t="s">
        <v>107</v>
      </c>
      <c r="T4" s="5" t="s">
        <v>108</v>
      </c>
      <c r="U4" s="5" t="s">
        <v>109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3"/>
    </row>
    <row r="5" spans="1:34" ht="25.5" customHeight="1">
      <c r="A5" s="3" t="s">
        <v>138</v>
      </c>
      <c r="B5" s="3" t="str">
        <f t="shared" si="0"/>
        <v>Tyrone v Cork</v>
      </c>
      <c r="C5" s="3" t="s">
        <v>113</v>
      </c>
      <c r="D5" s="3" t="s">
        <v>40</v>
      </c>
      <c r="E5" s="4">
        <v>46103</v>
      </c>
      <c r="F5" s="3" t="s">
        <v>65</v>
      </c>
      <c r="G5" s="3" t="s">
        <v>68</v>
      </c>
      <c r="H5" s="3" t="s">
        <v>111</v>
      </c>
      <c r="I5" s="3" t="s">
        <v>110</v>
      </c>
      <c r="J5" s="5" t="s">
        <v>112</v>
      </c>
      <c r="K5" s="5" t="s">
        <v>114</v>
      </c>
      <c r="L5" s="5" t="s">
        <v>77</v>
      </c>
      <c r="M5" s="5" t="s">
        <v>75</v>
      </c>
      <c r="N5" s="3" t="s">
        <v>139</v>
      </c>
      <c r="O5" s="3" t="s">
        <v>37</v>
      </c>
      <c r="P5" s="5"/>
      <c r="Q5" s="5"/>
      <c r="R5" s="5" t="s">
        <v>76</v>
      </c>
      <c r="S5" s="5" t="s">
        <v>115</v>
      </c>
      <c r="T5" s="5" t="s">
        <v>116</v>
      </c>
      <c r="U5" s="5" t="s">
        <v>117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3"/>
    </row>
    <row r="6" spans="1:34" ht="25.5" customHeight="1">
      <c r="A6" s="3" t="s">
        <v>124</v>
      </c>
      <c r="B6" s="3" t="str">
        <f t="shared" si="0"/>
        <v>Donegal v Down</v>
      </c>
      <c r="C6" s="3" t="s">
        <v>38</v>
      </c>
      <c r="D6" s="3" t="s">
        <v>39</v>
      </c>
      <c r="E6" s="4">
        <v>46138</v>
      </c>
      <c r="F6" s="3" t="s">
        <v>35</v>
      </c>
      <c r="G6" s="3"/>
      <c r="H6" s="3" t="s">
        <v>36</v>
      </c>
      <c r="I6" s="3" t="s">
        <v>118</v>
      </c>
      <c r="J6" s="5" t="s">
        <v>119</v>
      </c>
      <c r="K6" s="5" t="s">
        <v>120</v>
      </c>
      <c r="L6" s="5" t="s">
        <v>121</v>
      </c>
      <c r="M6" s="5" t="s">
        <v>122</v>
      </c>
      <c r="N6" s="3" t="s">
        <v>123</v>
      </c>
      <c r="O6" s="3" t="s">
        <v>37</v>
      </c>
      <c r="P6" s="5"/>
      <c r="Q6" s="5"/>
      <c r="R6" s="5" t="s">
        <v>76</v>
      </c>
      <c r="S6" s="5" t="s">
        <v>125</v>
      </c>
      <c r="T6" s="5" t="s">
        <v>127</v>
      </c>
      <c r="U6" s="5" t="s">
        <v>126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3"/>
    </row>
    <row r="7" spans="1:34" ht="25.5" customHeight="1">
      <c r="A7" s="3" t="s">
        <v>130</v>
      </c>
      <c r="B7" s="3" t="str">
        <f t="shared" si="0"/>
        <v>Fermanagh v Armagh</v>
      </c>
      <c r="C7" s="3" t="s">
        <v>33</v>
      </c>
      <c r="D7" s="3" t="s">
        <v>34</v>
      </c>
      <c r="E7" s="4">
        <v>46137</v>
      </c>
      <c r="F7" s="3" t="s">
        <v>35</v>
      </c>
      <c r="G7" s="3"/>
      <c r="H7" s="3" t="s">
        <v>36</v>
      </c>
      <c r="I7" s="3" t="s">
        <v>128</v>
      </c>
      <c r="J7" s="5" t="s">
        <v>134</v>
      </c>
      <c r="K7" s="5" t="s">
        <v>133</v>
      </c>
      <c r="L7" s="5" t="s">
        <v>131</v>
      </c>
      <c r="M7" s="5" t="s">
        <v>132</v>
      </c>
      <c r="N7" s="3" t="s">
        <v>129</v>
      </c>
      <c r="O7" s="3" t="s">
        <v>37</v>
      </c>
      <c r="P7" s="5"/>
      <c r="Q7" s="5"/>
      <c r="R7" s="5" t="s">
        <v>76</v>
      </c>
      <c r="S7" s="5" t="s">
        <v>135</v>
      </c>
      <c r="T7" s="5" t="s">
        <v>136</v>
      </c>
      <c r="U7" s="5" t="s">
        <v>137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3"/>
    </row>
    <row r="8" spans="1:34" ht="25.5" customHeight="1">
      <c r="A8" s="3"/>
      <c r="B8" s="3" t="str">
        <f t="shared" si="0"/>
        <v xml:space="preserve"> v </v>
      </c>
      <c r="C8" s="3"/>
      <c r="D8" s="3"/>
      <c r="E8" s="4"/>
      <c r="F8" s="3"/>
      <c r="G8" s="3"/>
      <c r="H8" s="3"/>
      <c r="I8" s="3"/>
      <c r="J8" s="5"/>
      <c r="K8" s="5"/>
      <c r="L8" s="5"/>
      <c r="M8" s="5"/>
      <c r="N8" s="3"/>
      <c r="O8" s="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3"/>
    </row>
    <row r="9" spans="1:34" ht="25.5" customHeight="1">
      <c r="A9" s="3"/>
      <c r="B9" s="3" t="str">
        <f t="shared" si="0"/>
        <v xml:space="preserve"> v </v>
      </c>
      <c r="C9" s="3"/>
      <c r="D9" s="3"/>
      <c r="E9" s="4"/>
      <c r="F9" s="3"/>
      <c r="G9" s="3"/>
      <c r="H9" s="3"/>
      <c r="I9" s="3"/>
      <c r="J9" s="5"/>
      <c r="K9" s="5"/>
      <c r="L9" s="5"/>
      <c r="M9" s="5"/>
      <c r="N9" s="3"/>
      <c r="O9" s="3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3"/>
    </row>
    <row r="10" spans="1:34" ht="25.5" customHeight="1">
      <c r="A10" s="3"/>
      <c r="B10" s="3" t="str">
        <f t="shared" si="0"/>
        <v xml:space="preserve"> v </v>
      </c>
      <c r="C10" s="3"/>
      <c r="D10" s="3"/>
      <c r="E10" s="4"/>
      <c r="F10" s="3"/>
      <c r="G10" s="3"/>
      <c r="H10" s="3"/>
      <c r="I10" s="3"/>
      <c r="J10" s="5"/>
      <c r="K10" s="5"/>
      <c r="L10" s="5"/>
      <c r="M10" s="5"/>
      <c r="N10" s="3"/>
      <c r="O10" s="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3"/>
    </row>
    <row r="11" spans="1:34" ht="25.5" customHeight="1">
      <c r="A11" s="3"/>
      <c r="B11" s="3" t="str">
        <f t="shared" si="0"/>
        <v xml:space="preserve"> v </v>
      </c>
      <c r="C11" s="3"/>
      <c r="D11" s="3"/>
      <c r="E11" s="4"/>
      <c r="F11" s="3"/>
      <c r="G11" s="3"/>
      <c r="H11" s="3"/>
      <c r="I11" s="3"/>
      <c r="J11" s="5"/>
      <c r="K11" s="5"/>
      <c r="L11" s="5"/>
      <c r="M11" s="5"/>
      <c r="N11" s="3"/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3"/>
    </row>
    <row r="12" spans="1:34" ht="25.5" customHeight="1">
      <c r="A12" s="3"/>
      <c r="B12" s="3" t="str">
        <f t="shared" si="0"/>
        <v xml:space="preserve"> v </v>
      </c>
      <c r="C12" s="3"/>
      <c r="D12" s="3"/>
      <c r="E12" s="4"/>
      <c r="F12" s="3"/>
      <c r="G12" s="3"/>
      <c r="H12" s="3"/>
      <c r="I12" s="3"/>
      <c r="J12" s="5"/>
      <c r="K12" s="5"/>
      <c r="L12" s="5"/>
      <c r="M12" s="5"/>
      <c r="N12" s="3"/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3"/>
    </row>
    <row r="13" spans="1:34" ht="25.5" customHeight="1">
      <c r="A13" s="3"/>
      <c r="B13" s="3" t="str">
        <f t="shared" si="0"/>
        <v xml:space="preserve"> v </v>
      </c>
      <c r="C13" s="3"/>
      <c r="D13" s="3"/>
      <c r="E13" s="4"/>
      <c r="F13" s="3"/>
      <c r="G13" s="3"/>
      <c r="H13" s="3"/>
      <c r="I13" s="3"/>
      <c r="J13" s="5"/>
      <c r="K13" s="5"/>
      <c r="L13" s="5"/>
      <c r="M13" s="5"/>
      <c r="N13" s="3"/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3"/>
    </row>
    <row r="14" spans="1:34" ht="25.5" customHeight="1">
      <c r="A14" s="3"/>
      <c r="B14" s="3" t="str">
        <f t="shared" si="0"/>
        <v xml:space="preserve"> v </v>
      </c>
      <c r="C14" s="3"/>
      <c r="D14" s="3"/>
      <c r="E14" s="4"/>
      <c r="F14" s="3"/>
      <c r="G14" s="3"/>
      <c r="H14" s="3"/>
      <c r="I14" s="3"/>
      <c r="J14" s="5"/>
      <c r="K14" s="5"/>
      <c r="L14" s="5"/>
      <c r="M14" s="5"/>
      <c r="N14" s="3"/>
      <c r="O14" s="3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3"/>
    </row>
    <row r="15" spans="1:34" ht="25.5" customHeight="1">
      <c r="A15" s="3"/>
      <c r="B15" s="3" t="str">
        <f t="shared" si="0"/>
        <v xml:space="preserve"> v </v>
      </c>
      <c r="C15" s="3"/>
      <c r="D15" s="3"/>
      <c r="E15" s="4"/>
      <c r="F15" s="3"/>
      <c r="G15" s="3"/>
      <c r="H15" s="3"/>
      <c r="I15" s="3"/>
      <c r="J15" s="5"/>
      <c r="K15" s="5"/>
      <c r="L15" s="5"/>
      <c r="M15" s="5"/>
      <c r="N15" s="3"/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3"/>
    </row>
    <row r="16" spans="1:34" ht="25.5" customHeight="1">
      <c r="A16" s="3"/>
      <c r="B16" s="3" t="str">
        <f t="shared" si="0"/>
        <v xml:space="preserve"> v </v>
      </c>
      <c r="C16" s="3"/>
      <c r="D16" s="3"/>
      <c r="E16" s="4"/>
      <c r="F16" s="3"/>
      <c r="G16" s="3"/>
      <c r="H16" s="3"/>
      <c r="I16" s="3"/>
      <c r="J16" s="5"/>
      <c r="K16" s="5"/>
      <c r="L16" s="5"/>
      <c r="M16" s="5"/>
      <c r="N16" s="3"/>
      <c r="O16" s="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3"/>
    </row>
    <row r="17" spans="1:34" ht="25.5" customHeight="1">
      <c r="A17" s="3"/>
      <c r="B17" s="3" t="str">
        <f t="shared" si="0"/>
        <v xml:space="preserve"> v </v>
      </c>
      <c r="C17" s="3"/>
      <c r="D17" s="3"/>
      <c r="E17" s="4"/>
      <c r="F17" s="3"/>
      <c r="G17" s="3"/>
      <c r="H17" s="3"/>
      <c r="I17" s="3"/>
      <c r="J17" s="5"/>
      <c r="K17" s="5"/>
      <c r="L17" s="5"/>
      <c r="M17" s="5"/>
      <c r="N17" s="3"/>
      <c r="O17" s="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3"/>
    </row>
    <row r="18" spans="1:34" ht="25.5" customHeight="1">
      <c r="A18" s="3"/>
      <c r="B18" s="3" t="str">
        <f t="shared" si="0"/>
        <v xml:space="preserve"> v </v>
      </c>
      <c r="C18" s="3"/>
      <c r="D18" s="3"/>
      <c r="E18" s="4"/>
      <c r="F18" s="3"/>
      <c r="G18" s="3"/>
      <c r="H18" s="3"/>
      <c r="I18" s="3"/>
      <c r="J18" s="5"/>
      <c r="K18" s="5"/>
      <c r="L18" s="5"/>
      <c r="M18" s="5"/>
      <c r="N18" s="3"/>
      <c r="O18" s="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3"/>
    </row>
    <row r="19" spans="1:34" ht="25.5" customHeight="1">
      <c r="A19" s="3"/>
      <c r="B19" s="3" t="str">
        <f t="shared" si="0"/>
        <v xml:space="preserve"> v </v>
      </c>
      <c r="C19" s="3"/>
      <c r="D19" s="3"/>
      <c r="E19" s="4"/>
      <c r="F19" s="3"/>
      <c r="G19" s="3"/>
      <c r="H19" s="3"/>
      <c r="I19" s="3"/>
      <c r="J19" s="5"/>
      <c r="K19" s="5"/>
      <c r="L19" s="5"/>
      <c r="M19" s="5"/>
      <c r="N19" s="3"/>
      <c r="O19" s="3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3"/>
    </row>
    <row r="20" spans="1:34" ht="25.5" customHeight="1">
      <c r="A20" s="3"/>
      <c r="B20" s="3" t="str">
        <f t="shared" si="0"/>
        <v xml:space="preserve"> v </v>
      </c>
      <c r="C20" s="3"/>
      <c r="D20" s="3"/>
      <c r="E20" s="4"/>
      <c r="F20" s="3"/>
      <c r="G20" s="3"/>
      <c r="H20" s="3"/>
      <c r="I20" s="3"/>
      <c r="J20" s="5"/>
      <c r="K20" s="5"/>
      <c r="L20" s="5"/>
      <c r="M20" s="5"/>
      <c r="N20" s="3"/>
      <c r="O20" s="3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3"/>
    </row>
    <row r="21" spans="1:34" ht="25.5" customHeight="1">
      <c r="A21" s="3"/>
      <c r="B21" s="3" t="str">
        <f t="shared" si="0"/>
        <v xml:space="preserve"> v </v>
      </c>
      <c r="C21" s="3"/>
      <c r="D21" s="3"/>
      <c r="E21" s="4"/>
      <c r="F21" s="3"/>
      <c r="G21" s="3"/>
      <c r="H21" s="3"/>
      <c r="I21" s="3"/>
      <c r="J21" s="5"/>
      <c r="K21" s="5"/>
      <c r="L21" s="5"/>
      <c r="M21" s="5"/>
      <c r="N21" s="3"/>
      <c r="O21" s="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3"/>
    </row>
    <row r="22" spans="1:34" ht="25.5" customHeight="1">
      <c r="A22" s="3"/>
      <c r="B22" s="3" t="str">
        <f t="shared" si="0"/>
        <v xml:space="preserve"> v </v>
      </c>
      <c r="C22" s="3"/>
      <c r="D22" s="3"/>
      <c r="E22" s="4"/>
      <c r="F22" s="3"/>
      <c r="G22" s="3"/>
      <c r="H22" s="3"/>
      <c r="I22" s="3"/>
      <c r="J22" s="5"/>
      <c r="K22" s="5"/>
      <c r="L22" s="5"/>
      <c r="M22" s="5"/>
      <c r="N22" s="3"/>
      <c r="O22" s="3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3"/>
    </row>
    <row r="23" spans="1:34" ht="25.5" customHeight="1">
      <c r="A23" s="3"/>
      <c r="B23" s="3" t="str">
        <f t="shared" si="0"/>
        <v xml:space="preserve"> v </v>
      </c>
      <c r="C23" s="3"/>
      <c r="D23" s="3"/>
      <c r="E23" s="4"/>
      <c r="F23" s="3"/>
      <c r="G23" s="3"/>
      <c r="H23" s="3"/>
      <c r="I23" s="3"/>
      <c r="J23" s="5"/>
      <c r="K23" s="5"/>
      <c r="L23" s="5"/>
      <c r="M23" s="5"/>
      <c r="N23" s="3"/>
      <c r="O23" s="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3"/>
    </row>
    <row r="24" spans="1:34" ht="25.5" customHeight="1">
      <c r="A24" s="3"/>
      <c r="B24" s="3" t="str">
        <f t="shared" si="0"/>
        <v xml:space="preserve"> v </v>
      </c>
      <c r="C24" s="3"/>
      <c r="D24" s="3"/>
      <c r="E24" s="4"/>
      <c r="F24" s="3"/>
      <c r="G24" s="3"/>
      <c r="H24" s="3"/>
      <c r="I24" s="3"/>
      <c r="J24" s="5"/>
      <c r="K24" s="5"/>
      <c r="L24" s="5"/>
      <c r="M24" s="5"/>
      <c r="N24" s="3"/>
      <c r="O24" s="3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3"/>
    </row>
    <row r="25" spans="1:34" ht="25.5" customHeight="1">
      <c r="A25" s="3"/>
      <c r="B25" s="3" t="str">
        <f t="shared" si="0"/>
        <v xml:space="preserve"> v </v>
      </c>
      <c r="C25" s="3"/>
      <c r="D25" s="3"/>
      <c r="E25" s="4"/>
      <c r="F25" s="3"/>
      <c r="G25" s="3"/>
      <c r="H25" s="3"/>
      <c r="I25" s="3"/>
      <c r="J25" s="5"/>
      <c r="K25" s="5"/>
      <c r="L25" s="5"/>
      <c r="M25" s="5"/>
      <c r="N25" s="3"/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3"/>
    </row>
    <row r="26" spans="1:34" ht="25.5" customHeight="1">
      <c r="A26" s="3"/>
      <c r="B26" s="3" t="str">
        <f t="shared" si="0"/>
        <v xml:space="preserve"> v </v>
      </c>
      <c r="C26" s="3"/>
      <c r="D26" s="3"/>
      <c r="E26" s="4"/>
      <c r="F26" s="3"/>
      <c r="G26" s="3"/>
      <c r="H26" s="3"/>
      <c r="I26" s="3"/>
      <c r="J26" s="5"/>
      <c r="K26" s="5"/>
      <c r="L26" s="5"/>
      <c r="M26" s="5"/>
      <c r="N26" s="3"/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3"/>
    </row>
    <row r="27" spans="1:34" ht="25.5" customHeight="1">
      <c r="A27" s="3"/>
      <c r="B27" s="3" t="str">
        <f t="shared" si="0"/>
        <v xml:space="preserve"> v </v>
      </c>
      <c r="C27" s="3"/>
      <c r="D27" s="3"/>
      <c r="E27" s="4"/>
      <c r="F27" s="3"/>
      <c r="G27" s="3"/>
      <c r="H27" s="3"/>
      <c r="I27" s="3"/>
      <c r="J27" s="5"/>
      <c r="K27" s="5"/>
      <c r="L27" s="5"/>
      <c r="M27" s="5"/>
      <c r="N27" s="3"/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3"/>
    </row>
    <row r="28" spans="1:34" ht="25.5" customHeight="1">
      <c r="A28" s="3"/>
      <c r="B28" s="3" t="str">
        <f t="shared" si="0"/>
        <v xml:space="preserve"> v </v>
      </c>
      <c r="C28" s="3"/>
      <c r="D28" s="3"/>
      <c r="E28" s="4"/>
      <c r="F28" s="3"/>
      <c r="G28" s="3"/>
      <c r="H28" s="3"/>
      <c r="I28" s="3"/>
      <c r="J28" s="5"/>
      <c r="K28" s="5"/>
      <c r="L28" s="5"/>
      <c r="M28" s="5"/>
      <c r="N28" s="3"/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3"/>
    </row>
    <row r="29" spans="1:34" ht="25.5" customHeight="1">
      <c r="A29" s="3"/>
      <c r="B29" s="3" t="str">
        <f t="shared" si="0"/>
        <v xml:space="preserve"> v </v>
      </c>
      <c r="C29" s="3"/>
      <c r="D29" s="3"/>
      <c r="E29" s="4"/>
      <c r="F29" s="3"/>
      <c r="G29" s="3"/>
      <c r="H29" s="3"/>
      <c r="I29" s="3"/>
      <c r="J29" s="5"/>
      <c r="K29" s="5"/>
      <c r="L29" s="5"/>
      <c r="M29" s="5"/>
      <c r="N29" s="3"/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3"/>
    </row>
    <row r="30" spans="1:34" ht="25.5" customHeight="1">
      <c r="A30" s="3"/>
      <c r="B30" s="3" t="str">
        <f t="shared" si="0"/>
        <v xml:space="preserve"> v </v>
      </c>
      <c r="C30" s="3"/>
      <c r="D30" s="3"/>
      <c r="E30" s="4"/>
      <c r="F30" s="3"/>
      <c r="G30" s="3"/>
      <c r="H30" s="3"/>
      <c r="I30" s="3"/>
      <c r="J30" s="5"/>
      <c r="K30" s="5"/>
      <c r="L30" s="5"/>
      <c r="M30" s="5"/>
      <c r="N30" s="3"/>
      <c r="O30" s="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3"/>
    </row>
    <row r="31" spans="1:34" ht="25.5" customHeight="1">
      <c r="A31" s="3"/>
      <c r="B31" s="3" t="str">
        <f t="shared" ref="B31:B62" si="1">CONCATENATE(C31, " v ", D31)</f>
        <v xml:space="preserve"> v </v>
      </c>
      <c r="C31" s="3"/>
      <c r="D31" s="3"/>
      <c r="E31" s="4"/>
      <c r="F31" s="3"/>
      <c r="G31" s="3"/>
      <c r="H31" s="3"/>
      <c r="I31" s="3"/>
      <c r="J31" s="5"/>
      <c r="K31" s="5"/>
      <c r="L31" s="5"/>
      <c r="M31" s="5"/>
      <c r="N31" s="3"/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3"/>
    </row>
    <row r="32" spans="1:34" ht="25.5" customHeight="1">
      <c r="A32" s="3"/>
      <c r="B32" s="3" t="str">
        <f t="shared" si="1"/>
        <v xml:space="preserve"> v </v>
      </c>
      <c r="C32" s="3"/>
      <c r="D32" s="3"/>
      <c r="E32" s="4"/>
      <c r="F32" s="3"/>
      <c r="G32" s="3"/>
      <c r="H32" s="3"/>
      <c r="I32" s="3"/>
      <c r="J32" s="5"/>
      <c r="K32" s="5"/>
      <c r="L32" s="5"/>
      <c r="M32" s="5"/>
      <c r="N32" s="3"/>
      <c r="O32" s="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3"/>
    </row>
    <row r="33" spans="1:34" ht="25.5" customHeight="1">
      <c r="A33" s="3"/>
      <c r="B33" s="3" t="str">
        <f t="shared" si="1"/>
        <v xml:space="preserve"> v </v>
      </c>
      <c r="C33" s="3"/>
      <c r="D33" s="3"/>
      <c r="E33" s="4"/>
      <c r="F33" s="3"/>
      <c r="G33" s="3"/>
      <c r="H33" s="3"/>
      <c r="I33" s="3"/>
      <c r="J33" s="5"/>
      <c r="K33" s="5"/>
      <c r="L33" s="5"/>
      <c r="M33" s="5"/>
      <c r="N33" s="3"/>
      <c r="O33" s="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3"/>
    </row>
    <row r="34" spans="1:34" ht="25.5" customHeight="1">
      <c r="A34" s="3"/>
      <c r="B34" s="3" t="str">
        <f t="shared" si="1"/>
        <v xml:space="preserve"> v </v>
      </c>
      <c r="C34" s="3"/>
      <c r="D34" s="3"/>
      <c r="E34" s="4"/>
      <c r="F34" s="3"/>
      <c r="G34" s="3"/>
      <c r="H34" s="3"/>
      <c r="I34" s="3"/>
      <c r="J34" s="5"/>
      <c r="K34" s="5"/>
      <c r="L34" s="5"/>
      <c r="M34" s="5"/>
      <c r="N34" s="3"/>
      <c r="O34" s="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3"/>
    </row>
    <row r="35" spans="1:34" ht="25.5" customHeight="1">
      <c r="A35" s="3"/>
      <c r="B35" s="3" t="str">
        <f t="shared" si="1"/>
        <v xml:space="preserve"> v </v>
      </c>
      <c r="C35" s="3"/>
      <c r="D35" s="3"/>
      <c r="E35" s="4"/>
      <c r="F35" s="3"/>
      <c r="G35" s="3"/>
      <c r="H35" s="3"/>
      <c r="I35" s="3"/>
      <c r="J35" s="5"/>
      <c r="K35" s="5"/>
      <c r="L35" s="5"/>
      <c r="M35" s="5"/>
      <c r="N35" s="3"/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3"/>
    </row>
    <row r="36" spans="1:34" ht="25.5" customHeight="1">
      <c r="A36" s="3"/>
      <c r="B36" s="3" t="str">
        <f t="shared" si="1"/>
        <v xml:space="preserve"> v </v>
      </c>
      <c r="C36" s="3"/>
      <c r="D36" s="3"/>
      <c r="E36" s="4"/>
      <c r="F36" s="3"/>
      <c r="G36" s="3"/>
      <c r="H36" s="3"/>
      <c r="I36" s="3"/>
      <c r="J36" s="5"/>
      <c r="K36" s="5"/>
      <c r="L36" s="5"/>
      <c r="M36" s="5"/>
      <c r="N36" s="3"/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3"/>
    </row>
    <row r="37" spans="1:34" ht="25.5" customHeight="1">
      <c r="A37" s="3"/>
      <c r="B37" s="3" t="str">
        <f t="shared" si="1"/>
        <v xml:space="preserve"> v </v>
      </c>
      <c r="C37" s="3"/>
      <c r="D37" s="3"/>
      <c r="E37" s="4"/>
      <c r="F37" s="3"/>
      <c r="G37" s="3"/>
      <c r="H37" s="3"/>
      <c r="I37" s="3"/>
      <c r="J37" s="5"/>
      <c r="K37" s="5"/>
      <c r="L37" s="5"/>
      <c r="M37" s="5"/>
      <c r="N37" s="3"/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3"/>
    </row>
    <row r="38" spans="1:34" ht="25.5" customHeight="1">
      <c r="A38" s="3"/>
      <c r="B38" s="3" t="str">
        <f t="shared" si="1"/>
        <v xml:space="preserve"> v </v>
      </c>
      <c r="C38" s="3"/>
      <c r="D38" s="3"/>
      <c r="E38" s="4"/>
      <c r="F38" s="3"/>
      <c r="G38" s="3"/>
      <c r="H38" s="3"/>
      <c r="I38" s="3"/>
      <c r="J38" s="5"/>
      <c r="K38" s="5"/>
      <c r="L38" s="5"/>
      <c r="M38" s="5"/>
      <c r="N38" s="3"/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3"/>
    </row>
    <row r="39" spans="1:34" ht="25.5" customHeight="1">
      <c r="A39" s="3"/>
      <c r="B39" s="3" t="str">
        <f t="shared" si="1"/>
        <v xml:space="preserve"> v </v>
      </c>
      <c r="C39" s="3"/>
      <c r="D39" s="3"/>
      <c r="E39" s="4"/>
      <c r="F39" s="3"/>
      <c r="G39" s="3"/>
      <c r="H39" s="3"/>
      <c r="I39" s="3"/>
      <c r="J39" s="5"/>
      <c r="K39" s="5"/>
      <c r="L39" s="5"/>
      <c r="M39" s="5"/>
      <c r="N39" s="3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3"/>
    </row>
    <row r="40" spans="1:34" ht="25.5" customHeight="1">
      <c r="A40" s="3"/>
      <c r="B40" s="3" t="str">
        <f t="shared" si="1"/>
        <v xml:space="preserve"> v </v>
      </c>
      <c r="C40" s="3"/>
      <c r="D40" s="3"/>
      <c r="E40" s="4"/>
      <c r="F40" s="3"/>
      <c r="G40" s="3"/>
      <c r="H40" s="3"/>
      <c r="I40" s="3"/>
      <c r="J40" s="5"/>
      <c r="K40" s="5"/>
      <c r="L40" s="5"/>
      <c r="M40" s="5"/>
      <c r="N40" s="3"/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3"/>
    </row>
    <row r="41" spans="1:34" ht="25.5" customHeight="1">
      <c r="A41" s="3"/>
      <c r="B41" s="3" t="str">
        <f t="shared" si="1"/>
        <v xml:space="preserve"> v </v>
      </c>
      <c r="C41" s="3"/>
      <c r="D41" s="3"/>
      <c r="E41" s="4"/>
      <c r="F41" s="3"/>
      <c r="G41" s="3"/>
      <c r="H41" s="3"/>
      <c r="I41" s="3"/>
      <c r="J41" s="5"/>
      <c r="K41" s="5"/>
      <c r="L41" s="5"/>
      <c r="M41" s="5"/>
      <c r="N41" s="3"/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3"/>
    </row>
    <row r="42" spans="1:34" ht="25.5" customHeight="1">
      <c r="A42" s="3"/>
      <c r="B42" s="3" t="str">
        <f t="shared" si="1"/>
        <v xml:space="preserve"> v </v>
      </c>
      <c r="C42" s="3"/>
      <c r="D42" s="3"/>
      <c r="E42" s="4"/>
      <c r="F42" s="3"/>
      <c r="G42" s="3"/>
      <c r="H42" s="3"/>
      <c r="I42" s="3"/>
      <c r="J42" s="5"/>
      <c r="K42" s="5"/>
      <c r="L42" s="5"/>
      <c r="M42" s="5"/>
      <c r="N42" s="3"/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3"/>
    </row>
    <row r="43" spans="1:34" ht="25.5" customHeight="1">
      <c r="A43" s="3"/>
      <c r="B43" s="3" t="str">
        <f t="shared" si="1"/>
        <v xml:space="preserve"> v </v>
      </c>
      <c r="C43" s="3"/>
      <c r="D43" s="3"/>
      <c r="E43" s="4"/>
      <c r="F43" s="3"/>
      <c r="G43" s="3"/>
      <c r="H43" s="3"/>
      <c r="I43" s="3"/>
      <c r="J43" s="5"/>
      <c r="K43" s="5"/>
      <c r="L43" s="5"/>
      <c r="M43" s="5"/>
      <c r="N43" s="3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3"/>
    </row>
    <row r="44" spans="1:34" ht="25.5" customHeight="1">
      <c r="A44" s="3"/>
      <c r="B44" s="3" t="str">
        <f t="shared" si="1"/>
        <v xml:space="preserve"> v </v>
      </c>
      <c r="C44" s="3"/>
      <c r="D44" s="3"/>
      <c r="E44" s="4"/>
      <c r="F44" s="3"/>
      <c r="G44" s="3"/>
      <c r="H44" s="3"/>
      <c r="I44" s="3"/>
      <c r="J44" s="5"/>
      <c r="K44" s="5"/>
      <c r="L44" s="5"/>
      <c r="M44" s="5"/>
      <c r="N44" s="3"/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3"/>
    </row>
    <row r="45" spans="1:34" ht="25.5" customHeight="1">
      <c r="A45" s="3"/>
      <c r="B45" s="3" t="str">
        <f t="shared" si="1"/>
        <v xml:space="preserve"> v </v>
      </c>
      <c r="C45" s="3"/>
      <c r="D45" s="3"/>
      <c r="E45" s="4"/>
      <c r="F45" s="3"/>
      <c r="G45" s="3"/>
      <c r="H45" s="3"/>
      <c r="I45" s="3"/>
      <c r="J45" s="5"/>
      <c r="K45" s="5"/>
      <c r="L45" s="5"/>
      <c r="M45" s="5"/>
      <c r="N45" s="3"/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3"/>
    </row>
    <row r="46" spans="1:34" ht="25.5" customHeight="1">
      <c r="A46" s="3"/>
      <c r="B46" s="3" t="str">
        <f t="shared" si="1"/>
        <v xml:space="preserve"> v </v>
      </c>
      <c r="C46" s="3"/>
      <c r="D46" s="3"/>
      <c r="E46" s="4"/>
      <c r="F46" s="3"/>
      <c r="G46" s="3"/>
      <c r="H46" s="3"/>
      <c r="I46" s="3"/>
      <c r="J46" s="5"/>
      <c r="K46" s="5"/>
      <c r="L46" s="5"/>
      <c r="M46" s="5"/>
      <c r="N46" s="3"/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3"/>
    </row>
    <row r="47" spans="1:34" ht="25.5" customHeight="1">
      <c r="A47" s="3"/>
      <c r="B47" s="3" t="str">
        <f t="shared" si="1"/>
        <v xml:space="preserve"> v </v>
      </c>
      <c r="C47" s="3"/>
      <c r="D47" s="3"/>
      <c r="E47" s="4"/>
      <c r="F47" s="3"/>
      <c r="G47" s="3"/>
      <c r="H47" s="3"/>
      <c r="I47" s="3"/>
      <c r="J47" s="5"/>
      <c r="K47" s="5"/>
      <c r="L47" s="5"/>
      <c r="M47" s="5"/>
      <c r="N47" s="3"/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Lists!$A$2:$A$8</xm:f>
          </x14:formula1>
          <xm:sqref>F8:F47 F2:F7</xm:sqref>
        </x14:dataValidation>
        <x14:dataValidation type="list" xr:uid="{00000000-0002-0000-0000-000001000000}">
          <x14:formula1>
            <xm:f>Lists!$E$2:$E$6</xm:f>
          </x14:formula1>
          <xm:sqref>G8:G47 G2:G7</xm:sqref>
        </x14:dataValidation>
        <x14:dataValidation type="list" xr:uid="{00000000-0002-0000-0000-000002000000}">
          <x14:formula1>
            <xm:f>Lists!$C$2:$C$3</xm:f>
          </x14:formula1>
          <xm:sqref>O8:O47 O2:O7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/>
  </sheetViews>
  <sheetFormatPr baseColWidth="10" defaultColWidth="8.83203125" defaultRowHeight="14"/>
  <cols>
    <col min="1" max="1" width="17.83203125" customWidth="1"/>
    <col min="2" max="2" width="92.6640625" customWidth="1"/>
  </cols>
  <sheetData>
    <row r="1" spans="1:8" ht="15">
      <c r="A1" s="9" t="s">
        <v>42</v>
      </c>
      <c r="B1" s="10"/>
      <c r="C1" s="11"/>
      <c r="D1" s="11"/>
      <c r="E1" s="11"/>
      <c r="F1" s="11"/>
      <c r="G1" s="11"/>
      <c r="H1" s="11"/>
    </row>
    <row r="3" spans="1:8" ht="31">
      <c r="A3" s="6" t="s">
        <v>43</v>
      </c>
      <c r="B3" s="7" t="s">
        <v>44</v>
      </c>
    </row>
    <row r="4" spans="1:8" ht="31">
      <c r="A4" s="6" t="s">
        <v>45</v>
      </c>
      <c r="B4" s="7" t="s">
        <v>46</v>
      </c>
    </row>
    <row r="5" spans="1:8" ht="16">
      <c r="A5" s="6" t="s">
        <v>47</v>
      </c>
      <c r="B5" s="7" t="s">
        <v>48</v>
      </c>
    </row>
    <row r="6" spans="1:8" ht="31">
      <c r="A6" s="6" t="s">
        <v>49</v>
      </c>
      <c r="B6" s="7" t="s">
        <v>50</v>
      </c>
    </row>
    <row r="7" spans="1:8" ht="16">
      <c r="A7" s="6" t="s">
        <v>51</v>
      </c>
      <c r="B7" s="7" t="s">
        <v>52</v>
      </c>
    </row>
    <row r="8" spans="1:8" ht="16">
      <c r="A8" s="6" t="s">
        <v>53</v>
      </c>
      <c r="B8" s="7" t="s">
        <v>54</v>
      </c>
    </row>
    <row r="9" spans="1:8" ht="16">
      <c r="A9" s="6" t="s">
        <v>12</v>
      </c>
      <c r="B9" s="7" t="s">
        <v>55</v>
      </c>
    </row>
    <row r="10" spans="1:8" ht="16">
      <c r="A10" s="6" t="s">
        <v>56</v>
      </c>
      <c r="B10" s="7" t="s">
        <v>57</v>
      </c>
    </row>
    <row r="11" spans="1:8" ht="31">
      <c r="A11" s="6" t="s">
        <v>58</v>
      </c>
      <c r="B11" s="7" t="s">
        <v>59</v>
      </c>
    </row>
    <row r="12" spans="1:8" ht="16">
      <c r="A12" s="6" t="s">
        <v>60</v>
      </c>
      <c r="B12" s="7" t="s">
        <v>61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/>
  </sheetViews>
  <sheetFormatPr baseColWidth="10" defaultColWidth="8.83203125" defaultRowHeight="14"/>
  <cols>
    <col min="1" max="5" width="17.83203125" customWidth="1"/>
  </cols>
  <sheetData>
    <row r="1" spans="1:5" ht="15">
      <c r="A1" s="1" t="s">
        <v>62</v>
      </c>
      <c r="B1" s="1"/>
      <c r="C1" s="1" t="s">
        <v>63</v>
      </c>
      <c r="D1" s="1"/>
      <c r="E1" s="1" t="s">
        <v>64</v>
      </c>
    </row>
    <row r="2" spans="1:5">
      <c r="A2" t="s">
        <v>65</v>
      </c>
      <c r="C2" t="s">
        <v>66</v>
      </c>
      <c r="E2" t="s">
        <v>67</v>
      </c>
    </row>
    <row r="3" spans="1:5">
      <c r="A3" t="s">
        <v>35</v>
      </c>
      <c r="C3" t="s">
        <v>37</v>
      </c>
      <c r="E3" t="s">
        <v>68</v>
      </c>
    </row>
    <row r="4" spans="1:5">
      <c r="A4" t="s">
        <v>41</v>
      </c>
      <c r="E4" t="s">
        <v>69</v>
      </c>
    </row>
    <row r="5" spans="1:5">
      <c r="A5" t="s">
        <v>70</v>
      </c>
      <c r="E5" t="s">
        <v>71</v>
      </c>
    </row>
    <row r="6" spans="1:5">
      <c r="A6" t="s">
        <v>72</v>
      </c>
    </row>
    <row r="7" spans="1:5">
      <c r="A7" t="s">
        <v>73</v>
      </c>
    </row>
    <row r="8" spans="1:5">
      <c r="A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 Manifest</vt:lpstr>
      <vt:lpstr>Instructions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McGuire</cp:lastModifiedBy>
  <dcterms:created xsi:type="dcterms:W3CDTF">2026-04-30T21:05:47Z</dcterms:created>
  <dcterms:modified xsi:type="dcterms:W3CDTF">2026-05-01T22:41:04Z</dcterms:modified>
</cp:coreProperties>
</file>